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_Referencia" sheetId="1" state="visible" r:id="rId1"/>
    <sheet xmlns:r="http://schemas.openxmlformats.org/officeDocument/2006/relationships" name="Simulador_Cos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YYYY-MM-DD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i val="1"/>
      <color rgb="00595959"/>
      <sz val="9"/>
    </font>
    <font>
      <name val="Calibri"/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</fills>
  <borders count="1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1F4E79"/>
      </top>
      <bottom/>
      <diagonal/>
    </border>
    <border>
      <left/>
      <right style="thin">
        <color rgb="00FFFFFF"/>
      </right>
      <top style="thin">
        <color rgb="001F4E79"/>
      </top>
      <bottom/>
      <diagonal/>
    </border>
    <border>
      <left/>
      <right/>
      <top style="thin">
        <color rgb="001F4E79"/>
      </top>
      <bottom style="medium">
        <color rgb="001F4E79"/>
      </bottom>
      <diagonal/>
    </border>
    <border>
      <left/>
      <right style="thin">
        <color rgb="00FFFFFF"/>
      </right>
      <top style="thin">
        <color rgb="001F4E79"/>
      </top>
      <bottom style="medium">
        <color rgb="001F4E79"/>
      </bottom>
      <diagonal/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top style="thin">
        <color rgb="001F4E79"/>
      </top>
      <bottom style="double">
        <color rgb="001F4E7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164" fontId="3" fillId="0" borderId="2" applyAlignment="1" pivotButton="0" quotePrefix="0" xfId="0">
      <alignment horizontal="right" vertical="center"/>
    </xf>
    <xf numFmtId="165" fontId="3" fillId="0" borderId="2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right" vertical="center"/>
    </xf>
    <xf numFmtId="0" fontId="3" fillId="4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top" wrapText="1"/>
    </xf>
    <xf numFmtId="166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164" fontId="3" fillId="4" borderId="2" applyAlignment="1" pivotButton="0" quotePrefix="0" xfId="0">
      <alignment horizontal="right" vertical="center"/>
    </xf>
    <xf numFmtId="165" fontId="3" fillId="4" borderId="2" applyAlignment="1" pivotButton="0" quotePrefix="0" xfId="0">
      <alignment horizontal="right" vertical="center"/>
    </xf>
    <xf numFmtId="0" fontId="5" fillId="0" borderId="2" pivotButton="0" quotePrefix="0" xfId="0"/>
    <xf numFmtId="3" fontId="3" fillId="4" borderId="2" applyAlignment="1" pivotButton="0" quotePrefix="0" xfId="0">
      <alignment horizontal="center" vertical="center"/>
    </xf>
    <xf numFmtId="164" fontId="5" fillId="5" borderId="2" applyAlignment="1" pivotButton="0" quotePrefix="0" xfId="0">
      <alignment horizontal="right" vertical="center"/>
    </xf>
    <xf numFmtId="0" fontId="0" fillId="0" borderId="2" pivotButton="0" quotePrefix="0" xfId="0"/>
    <xf numFmtId="164" fontId="5" fillId="6" borderId="2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3" fillId="0" borderId="0" applyAlignment="1" pivotButton="0" quotePrefix="0" xfId="0">
      <alignment horizontal="right" vertical="center"/>
    </xf>
    <xf numFmtId="165" fontId="7" fillId="5" borderId="1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35" customWidth="1" min="2" max="2"/>
    <col width="28" customWidth="1" min="3" max="3"/>
    <col width="30" customWidth="1" min="4" max="4"/>
    <col width="27" customWidth="1" min="5" max="5"/>
    <col width="21" customWidth="1" min="6" max="6"/>
    <col width="16" customWidth="1" min="7" max="7"/>
    <col width="21" customWidth="1" min="8" max="8"/>
  </cols>
  <sheetData>
    <row r="1" ht="40" customHeight="1">
      <c r="A1" s="1" t="inlineStr">
        <is>
          <t>TABULADOR OFICIAL DE TARIFAS - MUNET (2026)</t>
        </is>
      </c>
    </row>
    <row r="2"/>
    <row r="3" ht="30" customHeight="1">
      <c r="A3" s="2" t="inlineStr">
        <is>
          <t>Espacio</t>
        </is>
      </c>
      <c r="B3" s="2" t="inlineStr">
        <is>
          <t>Privado: Viernes/Sábado (Diario)</t>
        </is>
      </c>
      <c r="C3" s="2" t="inlineStr">
        <is>
          <t>Privado: Lun-Jue (Diario)</t>
        </is>
      </c>
      <c r="D3" s="2" t="inlineStr">
        <is>
          <t>Montaje/Desmontaje (Diario)</t>
        </is>
      </c>
      <c r="E3" s="2" t="inlineStr">
        <is>
          <t>Público: Garantía Mínima</t>
        </is>
      </c>
      <c r="F3" s="2" t="inlineStr">
        <is>
          <t>Público: % Boletos</t>
        </is>
      </c>
      <c r="G3" s="2" t="inlineStr">
        <is>
          <t>Renta 4 Horas</t>
        </is>
      </c>
      <c r="H3" s="2" t="inlineStr">
        <is>
          <t>Renta Día Completo</t>
        </is>
      </c>
    </row>
    <row r="4" ht="22" customHeight="1">
      <c r="A4" s="3" t="inlineStr">
        <is>
          <t>Explanada Principal</t>
        </is>
      </c>
      <c r="B4" s="4" t="n">
        <v>350000</v>
      </c>
      <c r="C4" s="4" t="n">
        <v>300000</v>
      </c>
      <c r="D4" s="4" t="n">
        <v>150000</v>
      </c>
      <c r="E4" s="4" t="n">
        <v>400000</v>
      </c>
      <c r="F4" s="5" t="n">
        <v>0.12</v>
      </c>
      <c r="G4" s="4" t="n">
        <v>0</v>
      </c>
      <c r="H4" s="4" t="n">
        <v>350000</v>
      </c>
    </row>
    <row r="5" ht="22" customHeight="1">
      <c r="A5" s="3" t="inlineStr">
        <is>
          <t>Foro (Búnker)</t>
        </is>
      </c>
      <c r="B5" s="4" t="n">
        <v>250000</v>
      </c>
      <c r="C5" s="4" t="n">
        <v>200000</v>
      </c>
      <c r="D5" s="4" t="n">
        <v>100000</v>
      </c>
      <c r="E5" s="4" t="n">
        <v>350000</v>
      </c>
      <c r="F5" s="5" t="n">
        <v>0.12</v>
      </c>
      <c r="G5" s="4" t="n">
        <v>0</v>
      </c>
      <c r="H5" s="4" t="n">
        <v>250000</v>
      </c>
    </row>
    <row r="6" ht="22" customHeight="1">
      <c r="A6" s="3" t="inlineStr">
        <is>
          <t>Lobby Principal</t>
        </is>
      </c>
      <c r="B6" s="4" t="n">
        <v>280000</v>
      </c>
      <c r="C6" s="4" t="n">
        <v>230000</v>
      </c>
      <c r="D6" s="4" t="n">
        <v>150000</v>
      </c>
      <c r="E6" s="4" t="n">
        <v>0</v>
      </c>
      <c r="F6" s="5" t="n">
        <v>0</v>
      </c>
      <c r="G6" s="4" t="n">
        <v>0</v>
      </c>
      <c r="H6" s="4" t="n">
        <v>280000</v>
      </c>
    </row>
    <row r="7" ht="22" customHeight="1">
      <c r="A7" s="3" t="inlineStr">
        <is>
          <t>Auditorio Principal</t>
        </is>
      </c>
      <c r="B7" s="4" t="n">
        <v>0</v>
      </c>
      <c r="C7" s="4" t="n">
        <v>0</v>
      </c>
      <c r="D7" s="4" t="n">
        <v>0</v>
      </c>
      <c r="E7" s="4" t="n">
        <v>60000</v>
      </c>
      <c r="F7" s="5" t="n">
        <v>0.12</v>
      </c>
      <c r="G7" s="4" t="n">
        <v>25000</v>
      </c>
      <c r="H7" s="4" t="n">
        <v>60000</v>
      </c>
    </row>
    <row r="8" ht="22" customHeight="1">
      <c r="A8" s="3" t="inlineStr">
        <is>
          <t>Jardín Social</t>
        </is>
      </c>
      <c r="B8" s="4" t="n">
        <v>0</v>
      </c>
      <c r="C8" s="4" t="n">
        <v>0</v>
      </c>
      <c r="D8" s="4" t="n">
        <v>0</v>
      </c>
      <c r="E8" s="4" t="n">
        <v>0</v>
      </c>
      <c r="F8" s="5" t="n">
        <v>0</v>
      </c>
      <c r="G8" s="4" t="n">
        <v>0</v>
      </c>
      <c r="H8" s="4" t="n">
        <v>70000</v>
      </c>
    </row>
    <row r="9" ht="22" customHeight="1">
      <c r="A9" s="3" t="inlineStr">
        <is>
          <t>Velaria</t>
        </is>
      </c>
      <c r="B9" s="4" t="n">
        <v>0</v>
      </c>
      <c r="C9" s="4" t="n">
        <v>0</v>
      </c>
      <c r="D9" s="4" t="n">
        <v>0</v>
      </c>
      <c r="E9" s="4" t="n">
        <v>0</v>
      </c>
      <c r="F9" s="5" t="n">
        <v>0</v>
      </c>
      <c r="G9" s="4" t="n">
        <v>0</v>
      </c>
      <c r="H9" s="4" t="n">
        <v>80000</v>
      </c>
    </row>
    <row r="10" ht="22" customHeight="1">
      <c r="A10" s="3" t="inlineStr">
        <is>
          <t>Sala de Exposiciones (Blackbox)</t>
        </is>
      </c>
      <c r="B10" s="4" t="n">
        <v>150000</v>
      </c>
      <c r="C10" s="4" t="n">
        <v>150000</v>
      </c>
      <c r="D10" s="4" t="n">
        <v>75000</v>
      </c>
      <c r="E10" s="4" t="n">
        <v>0</v>
      </c>
      <c r="F10" s="5" t="n">
        <v>0</v>
      </c>
      <c r="G10" s="4" t="n">
        <v>0</v>
      </c>
      <c r="H10" s="4" t="n">
        <v>150000</v>
      </c>
    </row>
    <row r="11" ht="22" customHeight="1">
      <c r="A11" s="3" t="inlineStr">
        <is>
          <t>Salas de Capacitación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5" t="n">
        <v>0</v>
      </c>
      <c r="G11" s="4" t="n">
        <v>10000</v>
      </c>
      <c r="H11" s="4" t="n">
        <v>20000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K41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45" customWidth="1" min="2" max="2"/>
    <col width="18" customWidth="1" min="3" max="3"/>
    <col width="18" customWidth="1" min="4" max="4"/>
    <col width="18" customWidth="1" min="5" max="5"/>
    <col width="15" customWidth="1" min="6" max="6"/>
    <col width="15" customWidth="1" min="7" max="7"/>
    <col width="18" customWidth="1" min="8" max="8"/>
    <col width="18" customWidth="1" min="9" max="9"/>
    <col width="20" customWidth="1" min="10" max="10"/>
    <col width="22" customWidth="1" min="11" max="11"/>
  </cols>
  <sheetData>
    <row r="2" ht="40" customHeight="1">
      <c r="B2" s="1" t="inlineStr">
        <is>
          <t>MUNET - SIMULADOR OPERATIVO Y DE COSTOS PARA EVENTOS (2026)</t>
        </is>
      </c>
    </row>
    <row r="4" ht="25" customHeight="1">
      <c r="B4" s="6" t="inlineStr">
        <is>
          <t>1. DATOS GENERALES DEL EVENTO</t>
        </is>
      </c>
    </row>
    <row r="5" ht="20" customHeight="1">
      <c r="B5" s="7" t="inlineStr">
        <is>
          <t>Nombre del Evento:</t>
        </is>
      </c>
      <c r="C5" s="8" t="inlineStr">
        <is>
          <t>Ej. Congreso de Energía 2026</t>
        </is>
      </c>
      <c r="E5" s="9" t="inlineStr">
        <is>
          <t>NOTAS LOGÍSTICAS IMPORTANTES:
• Eventos Privados: Tarifas diferenciadas para fin de semana (Vie-Sáb) y resto de la semana (Lun-Jue).
• Eventos Públicos: Se calcula sobre Garantía Mínima o el 12% de la venta de boletos (lo que resulte mayor).
• Regla de Ocupación: Para eventos de más de 5 días de ocupación total, se puede prescindir de la garantía mínima y operar únicamente con el 12% de porcentaje de venta de boletos (Sujeto a aprobación comercial del MUNET).
• Operador Autorizado: BÚNKER es el socio estratégico in-house oficial para coordinar toda la logística, producción técnica, rigging, catering y operaciones de montaje.</t>
        </is>
      </c>
    </row>
    <row r="6" ht="20" customHeight="1">
      <c r="B6" s="7" t="inlineStr">
        <is>
          <t>Nombre del Cliente/Organizador:</t>
        </is>
      </c>
      <c r="C6" s="8" t="inlineStr">
        <is>
          <t>Ej. Bunker Creatividad Empresarial</t>
        </is>
      </c>
    </row>
    <row r="7" ht="20" customHeight="1">
      <c r="B7" s="7" t="inlineStr">
        <is>
          <t>Fecha del Evento:</t>
        </is>
      </c>
      <c r="C7" s="10" t="inlineStr">
        <is>
          <t>2026-10-15</t>
        </is>
      </c>
    </row>
    <row r="8" ht="20" customHeight="1">
      <c r="B8" s="7" t="inlineStr">
        <is>
          <t>Tipo de Evento (Dropdown):</t>
        </is>
      </c>
      <c r="C8" s="11" t="inlineStr">
        <is>
          <t>Privado</t>
        </is>
      </c>
    </row>
    <row r="9" ht="20" customHeight="1">
      <c r="B9" s="7" t="inlineStr">
        <is>
          <t>Ingresos Estimados por Taquilla (Público):</t>
        </is>
      </c>
      <c r="C9" s="12" t="n">
        <v>0</v>
      </c>
    </row>
    <row r="10" ht="20" customHeight="1">
      <c r="B10" s="7" t="inlineStr">
        <is>
          <t>Descuento Especial Aplicado (%):</t>
        </is>
      </c>
      <c r="C10" s="13" t="n">
        <v>0</v>
      </c>
    </row>
    <row r="12" ht="25" customHeight="1">
      <c r="B12" s="6" t="inlineStr">
        <is>
          <t>2. CONFIGURACIÓN DE ESPACIOS A RENTAR</t>
        </is>
      </c>
    </row>
    <row r="13" ht="30" customHeight="1">
      <c r="B13" s="2" t="inlineStr">
        <is>
          <t>Espacio a Rentar</t>
        </is>
      </c>
      <c r="C13" s="2" t="inlineStr">
        <is>
          <t>Días Evento (Vie/Sáb)</t>
        </is>
      </c>
      <c r="D13" s="2" t="inlineStr">
        <is>
          <t>Días Evento (Lun-Jue)</t>
        </is>
      </c>
      <c r="E13" s="2" t="inlineStr">
        <is>
          <t>Días Montaje/Desmon.</t>
        </is>
      </c>
      <c r="F13" s="2" t="inlineStr">
        <is>
          <t>Auditorio/Salas: Bloques 4 hrs</t>
        </is>
      </c>
      <c r="G13" s="2" t="inlineStr">
        <is>
          <t>Auditorio/Salas: Días Compl.</t>
        </is>
      </c>
      <c r="H13" s="2" t="inlineStr">
        <is>
          <t>Costo Renta Evento</t>
        </is>
      </c>
      <c r="I13" s="2" t="inlineStr">
        <is>
          <t>Costo Montaje/Desmon.</t>
        </is>
      </c>
      <c r="J13" s="2" t="inlineStr">
        <is>
          <t>Garantía Mínima (Público)</t>
        </is>
      </c>
      <c r="K13" s="2" t="inlineStr">
        <is>
          <t>TOTAL ESPACIO</t>
        </is>
      </c>
    </row>
    <row r="14" ht="22" customHeight="1">
      <c r="B14" s="14" t="inlineStr">
        <is>
          <t>Explanada Principal</t>
        </is>
      </c>
      <c r="C14" s="15" t="n">
        <v>0</v>
      </c>
      <c r="D14" s="15" t="n">
        <v>0</v>
      </c>
      <c r="E14" s="15" t="n">
        <v>0</v>
      </c>
      <c r="F14" s="15" t="n">
        <v>0</v>
      </c>
      <c r="G14" s="15" t="n">
        <v>0</v>
      </c>
      <c r="H14" s="4">
        <f>IF($C$8="Privado", (C14*Tarifas_Referencia!B4) + (D14*Tarifas_Referencia!C4), 0)</f>
        <v/>
      </c>
      <c r="I14" s="4">
        <f>E14*Tarifas_Referencia!D4</f>
        <v/>
      </c>
      <c r="J14" s="4">
        <f>IF($C$8="Público", IF((C14+D14+E14+G14)&gt;5, 0, (C14+D14+G14)*Tarifas_Referencia!E4), 0)</f>
        <v/>
      </c>
      <c r="K14" s="16">
        <f>IF($C$8="Privado", H14+I14, MAX(J14, Tarifas_Referencia!F4*$C$9) + I14)</f>
        <v/>
      </c>
    </row>
    <row r="15" ht="22" customHeight="1">
      <c r="B15" s="14" t="inlineStr">
        <is>
          <t>Foro (Búnker)</t>
        </is>
      </c>
      <c r="C15" s="15" t="n">
        <v>0</v>
      </c>
      <c r="D15" s="15" t="n">
        <v>0</v>
      </c>
      <c r="E15" s="15" t="n">
        <v>0</v>
      </c>
      <c r="F15" s="15" t="n">
        <v>0</v>
      </c>
      <c r="G15" s="15" t="n">
        <v>0</v>
      </c>
      <c r="H15" s="4">
        <f>IF($C$8="Privado", (C15*Tarifas_Referencia!B5) + (D15*Tarifas_Referencia!C5), 0)</f>
        <v/>
      </c>
      <c r="I15" s="4">
        <f>E15*Tarifas_Referencia!D5</f>
        <v/>
      </c>
      <c r="J15" s="4">
        <f>IF($C$8="Público", IF((C15+D15+E15+G15)&gt;5, 0, (C15+D15+G15)*Tarifas_Referencia!E5), 0)</f>
        <v/>
      </c>
      <c r="K15" s="16">
        <f>IF($C$8="Privado", H15+I15, MAX(J15, Tarifas_Referencia!F5*$C$9) + I15)</f>
        <v/>
      </c>
    </row>
    <row r="16" ht="22" customHeight="1">
      <c r="B16" s="14" t="inlineStr">
        <is>
          <t>Lobby Principal</t>
        </is>
      </c>
      <c r="C16" s="15" t="n">
        <v>0</v>
      </c>
      <c r="D16" s="15" t="n">
        <v>0</v>
      </c>
      <c r="E16" s="15" t="n">
        <v>0</v>
      </c>
      <c r="F16" s="15" t="n">
        <v>0</v>
      </c>
      <c r="G16" s="15" t="n">
        <v>0</v>
      </c>
      <c r="H16" s="4">
        <f>IF($C$8="Privado", (C16*Tarifas_Referencia!B6) + (D16*Tarifas_Referencia!C6), 0)</f>
        <v/>
      </c>
      <c r="I16" s="4">
        <f>E16*Tarifas_Referencia!D6</f>
        <v/>
      </c>
      <c r="J16" s="4">
        <f>IF($C$8="Público", IF((C16+D16+E16+G16)&gt;5, 0, (C16+D16+G16)*Tarifas_Referencia!E6), 0)</f>
        <v/>
      </c>
      <c r="K16" s="16">
        <f>IF($C$8="Privado", H16+I16, MAX(J16, Tarifas_Referencia!F6*$C$9) + I16)</f>
        <v/>
      </c>
    </row>
    <row r="17" ht="22" customHeight="1">
      <c r="B17" s="14" t="inlineStr">
        <is>
          <t>Auditorio Principal</t>
        </is>
      </c>
      <c r="C17" s="15" t="n">
        <v>0</v>
      </c>
      <c r="D17" s="15" t="n">
        <v>0</v>
      </c>
      <c r="E17" s="15" t="n">
        <v>0</v>
      </c>
      <c r="F17" s="15" t="n">
        <v>0</v>
      </c>
      <c r="G17" s="15" t="n">
        <v>0</v>
      </c>
      <c r="H17" s="4">
        <f>IF($C$8="Privado", (F17*Tarifas_Referencia!G7) + (G17*Tarifas_Referencia!H7), 0)</f>
        <v/>
      </c>
      <c r="I17" s="4">
        <f>E17*Tarifas_Referencia!D7</f>
        <v/>
      </c>
      <c r="J17" s="4">
        <f>IF($C$8="Público", IF((C17+D17+E17+G17)&gt;5, 0, (C17+D17+G17)*Tarifas_Referencia!E7), 0)</f>
        <v/>
      </c>
      <c r="K17" s="16">
        <f>IF($C$8="Privado", H17+I17, MAX(J17, Tarifas_Referencia!F7*$C$9) + I17)</f>
        <v/>
      </c>
    </row>
    <row r="18" ht="22" customHeight="1">
      <c r="B18" s="14" t="inlineStr">
        <is>
          <t>Jardín Social</t>
        </is>
      </c>
      <c r="C18" s="15" t="n">
        <v>0</v>
      </c>
      <c r="D18" s="15" t="n">
        <v>0</v>
      </c>
      <c r="E18" s="15" t="n">
        <v>0</v>
      </c>
      <c r="F18" s="15" t="n">
        <v>0</v>
      </c>
      <c r="G18" s="15" t="n">
        <v>0</v>
      </c>
      <c r="H18" s="4">
        <f>IF($C$8="Privado", (C18*Tarifas_Referencia!B8) + (D18*Tarifas_Referencia!C8), 0)</f>
        <v/>
      </c>
      <c r="I18" s="4">
        <f>E18*Tarifas_Referencia!D8</f>
        <v/>
      </c>
      <c r="J18" s="4">
        <f>IF($C$8="Público", IF((C18+D18+E18+G18)&gt;5, 0, (C18+D18+G18)*Tarifas_Referencia!E8), 0)</f>
        <v/>
      </c>
      <c r="K18" s="16">
        <f>IF($C$8="Privado", H18+I18, MAX(J18, Tarifas_Referencia!F8*$C$9) + I18)</f>
        <v/>
      </c>
    </row>
    <row r="19" ht="22" customHeight="1">
      <c r="B19" s="14" t="inlineStr">
        <is>
          <t>Velaria</t>
        </is>
      </c>
      <c r="C19" s="15" t="n">
        <v>0</v>
      </c>
      <c r="D19" s="15" t="n">
        <v>0</v>
      </c>
      <c r="E19" s="15" t="n">
        <v>0</v>
      </c>
      <c r="F19" s="15" t="n">
        <v>0</v>
      </c>
      <c r="G19" s="15" t="n">
        <v>0</v>
      </c>
      <c r="H19" s="4">
        <f>IF($C$8="Privado", (C19*Tarifas_Referencia!B9) + (D19*Tarifas_Referencia!C9), 0)</f>
        <v/>
      </c>
      <c r="I19" s="4">
        <f>E19*Tarifas_Referencia!D9</f>
        <v/>
      </c>
      <c r="J19" s="4">
        <f>IF($C$8="Público", IF((C19+D19+E19+G19)&gt;5, 0, (C19+D19+G19)*Tarifas_Referencia!E9), 0)</f>
        <v/>
      </c>
      <c r="K19" s="16">
        <f>IF($C$8="Privado", H19+I19, MAX(J19, Tarifas_Referencia!F9*$C$9) + I19)</f>
        <v/>
      </c>
    </row>
    <row r="20" ht="22" customHeight="1">
      <c r="B20" s="14" t="inlineStr">
        <is>
          <t>Sala de Exposiciones (Blackbox)</t>
        </is>
      </c>
      <c r="C20" s="15" t="n">
        <v>0</v>
      </c>
      <c r="D20" s="15" t="n">
        <v>0</v>
      </c>
      <c r="E20" s="15" t="n">
        <v>0</v>
      </c>
      <c r="F20" s="15" t="n">
        <v>0</v>
      </c>
      <c r="G20" s="15" t="n">
        <v>0</v>
      </c>
      <c r="H20" s="4">
        <f>IF($C$8="Privado", (C20*Tarifas_Referencia!B10) + (D20*Tarifas_Referencia!C10), 0)</f>
        <v/>
      </c>
      <c r="I20" s="4">
        <f>E20*Tarifas_Referencia!D10</f>
        <v/>
      </c>
      <c r="J20" s="4">
        <f>IF($C$8="Público", IF((C20+D20+E20+G20)&gt;5, 0, (C20+D20+G20)*Tarifas_Referencia!E10), 0)</f>
        <v/>
      </c>
      <c r="K20" s="16">
        <f>IF($C$8="Privado", H20+I20, MAX(J20, Tarifas_Referencia!F10*$C$9) + I20)</f>
        <v/>
      </c>
    </row>
    <row r="21" ht="22" customHeight="1">
      <c r="B21" s="14" t="inlineStr">
        <is>
          <t>Salas de Capacitación</t>
        </is>
      </c>
      <c r="C21" s="15" t="n">
        <v>0</v>
      </c>
      <c r="D21" s="15" t="n">
        <v>0</v>
      </c>
      <c r="E21" s="15" t="n">
        <v>0</v>
      </c>
      <c r="F21" s="15" t="n">
        <v>0</v>
      </c>
      <c r="G21" s="15" t="n">
        <v>0</v>
      </c>
      <c r="H21" s="4">
        <f>IF($C$8="Privado", (F21*Tarifas_Referencia!G11) + (G21*Tarifas_Referencia!H11), 0)</f>
        <v/>
      </c>
      <c r="I21" s="4">
        <f>E21*Tarifas_Referencia!D11</f>
        <v/>
      </c>
      <c r="J21" s="4">
        <f>IF($C$8="Público", IF((C21+D21+E21+G21)&gt;5, 0, (C21+D21+G21)*Tarifas_Referencia!E11), 0)</f>
        <v/>
      </c>
      <c r="K21" s="16">
        <f>IF($C$8="Privado", H21+I21, MAX(J21, Tarifas_Referencia!F11*$C$9) + I21)</f>
        <v/>
      </c>
    </row>
    <row r="22" ht="22" customHeight="1">
      <c r="B22" s="7" t="inlineStr">
        <is>
          <t>Subtotal Renta de Espacios:</t>
        </is>
      </c>
      <c r="C22" s="17" t="n"/>
      <c r="D22" s="17" t="n"/>
      <c r="E22" s="17" t="n"/>
      <c r="F22" s="17" t="n"/>
      <c r="G22" s="17" t="n"/>
      <c r="H22" s="17" t="n"/>
      <c r="I22" s="17" t="n"/>
      <c r="J22" s="17" t="n"/>
      <c r="K22" s="18">
        <f>SUM(K14:K21)</f>
        <v/>
      </c>
    </row>
    <row r="24" ht="25" customHeight="1">
      <c r="B24" s="6" t="inlineStr">
        <is>
          <t>3. ESTIMACIÓN DE SERVICIOS ADICIONALES Y LOGÍSTICA</t>
        </is>
      </c>
    </row>
    <row r="25" ht="25" customHeight="1">
      <c r="B25" s="19" t="inlineStr">
        <is>
          <t>Concepto del Servicio</t>
        </is>
      </c>
      <c r="C25" s="19" t="inlineStr">
        <is>
          <t>Tipo Costo</t>
        </is>
      </c>
      <c r="D25" s="19" t="inlineStr">
        <is>
          <t>Cantidad / Días</t>
        </is>
      </c>
      <c r="E25" s="19" t="inlineStr">
        <is>
          <t>Tarifa Unitaria</t>
        </is>
      </c>
      <c r="F25" s="20" t="n"/>
      <c r="G25" s="20" t="n"/>
      <c r="H25" s="20" t="n"/>
      <c r="I25" s="20" t="n"/>
      <c r="J25" s="21" t="n"/>
      <c r="K25" s="19" t="inlineStr">
        <is>
          <t>TOTAL SERVICIO</t>
        </is>
      </c>
    </row>
    <row r="26" ht="20" customHeight="1">
      <c r="B26" s="14" t="inlineStr">
        <is>
          <t>Coordinación de Producción General (BÚNKER)</t>
        </is>
      </c>
      <c r="C26" s="11" t="inlineStr">
        <is>
          <t>Diario</t>
        </is>
      </c>
      <c r="D26" s="15" t="n">
        <v>1</v>
      </c>
      <c r="E26" s="12" t="n">
        <v>15000</v>
      </c>
      <c r="F26" s="17" t="n"/>
      <c r="G26" s="17" t="n"/>
      <c r="H26" s="17" t="n"/>
      <c r="I26" s="17" t="n"/>
      <c r="J26" s="17" t="n"/>
      <c r="K26" s="16">
        <f>IF(C26="Diario", D26*E26, E26)</f>
        <v/>
      </c>
    </row>
    <row r="27" ht="20" customHeight="1">
      <c r="B27" s="14" t="inlineStr">
        <is>
          <t>Personal de Seguridad Privada (Turno 12h/elemento)</t>
        </is>
      </c>
      <c r="C27" s="11" t="inlineStr">
        <is>
          <t>Diario</t>
        </is>
      </c>
      <c r="D27" s="15" t="n">
        <v>10</v>
      </c>
      <c r="E27" s="12" t="n">
        <v>1500</v>
      </c>
      <c r="F27" s="17" t="n"/>
      <c r="G27" s="17" t="n"/>
      <c r="H27" s="17" t="n"/>
      <c r="I27" s="17" t="n"/>
      <c r="J27" s="17" t="n"/>
      <c r="K27" s="16">
        <f>IF(C27="Diario", D27*E27, E27)</f>
        <v/>
      </c>
    </row>
    <row r="28" ht="20" customHeight="1">
      <c r="B28" s="14" t="inlineStr">
        <is>
          <t>Personal de Limpieza y Gestión de Residuos</t>
        </is>
      </c>
      <c r="C28" s="11" t="inlineStr">
        <is>
          <t>Diario</t>
        </is>
      </c>
      <c r="D28" s="15" t="n">
        <v>8</v>
      </c>
      <c r="E28" s="12" t="n">
        <v>1200</v>
      </c>
      <c r="F28" s="17" t="n"/>
      <c r="G28" s="17" t="n"/>
      <c r="H28" s="17" t="n"/>
      <c r="I28" s="17" t="n"/>
      <c r="J28" s="17" t="n"/>
      <c r="K28" s="16">
        <f>IF(C28="Diario", D28*E28, E28)</f>
        <v/>
      </c>
    </row>
    <row r="29" ht="20" customHeight="1">
      <c r="B29" s="14" t="inlineStr">
        <is>
          <t>Supervisión de Mantenimiento y Planta</t>
        </is>
      </c>
      <c r="C29" s="11" t="inlineStr">
        <is>
          <t>Diario</t>
        </is>
      </c>
      <c r="D29" s="15" t="n">
        <v>2</v>
      </c>
      <c r="E29" s="12" t="n">
        <v>2500</v>
      </c>
      <c r="F29" s="17" t="n"/>
      <c r="G29" s="17" t="n"/>
      <c r="H29" s="17" t="n"/>
      <c r="I29" s="17" t="n"/>
      <c r="J29" s="17" t="n"/>
      <c r="K29" s="16">
        <f>IF(C29="Diario", D29*E29, E29)</f>
        <v/>
      </c>
    </row>
    <row r="30" ht="20" customHeight="1">
      <c r="B30" s="14" t="inlineStr">
        <is>
          <t>Unidad Médica, Ambulancia y Paramédicos</t>
        </is>
      </c>
      <c r="C30" s="11" t="inlineStr">
        <is>
          <t>Diario</t>
        </is>
      </c>
      <c r="D30" s="15" t="n">
        <v>1</v>
      </c>
      <c r="E30" s="12" t="n">
        <v>8500</v>
      </c>
      <c r="F30" s="17" t="n"/>
      <c r="G30" s="17" t="n"/>
      <c r="H30" s="17" t="n"/>
      <c r="I30" s="17" t="n"/>
      <c r="J30" s="17" t="n"/>
      <c r="K30" s="16">
        <f>IF(C30="Diario", D30*E30, E30)</f>
        <v/>
      </c>
    </row>
    <row r="31" ht="20" customHeight="1">
      <c r="B31" s="14" t="inlineStr">
        <is>
          <t>Carpeta de Protección Civil y Trámites</t>
        </is>
      </c>
      <c r="C31" s="11" t="inlineStr">
        <is>
          <t>Fijo</t>
        </is>
      </c>
      <c r="D31" s="15" t="n">
        <v>1</v>
      </c>
      <c r="E31" s="12" t="n">
        <v>35000</v>
      </c>
      <c r="F31" s="17" t="n"/>
      <c r="G31" s="17" t="n"/>
      <c r="H31" s="17" t="n"/>
      <c r="I31" s="17" t="n"/>
      <c r="J31" s="17" t="n"/>
      <c r="K31" s="16">
        <f>IF(C31="Diario", D31*E31, E31)</f>
        <v/>
      </c>
    </row>
    <row r="32" ht="20" customHeight="1">
      <c r="B32" s="14" t="inlineStr">
        <is>
          <t>Planta de Luz Auxiliar e Ingeniería Técnica</t>
        </is>
      </c>
      <c r="C32" s="11" t="inlineStr">
        <is>
          <t>Diario</t>
        </is>
      </c>
      <c r="D32" s="15" t="n">
        <v>1</v>
      </c>
      <c r="E32" s="12" t="n">
        <v>22000</v>
      </c>
      <c r="F32" s="17" t="n"/>
      <c r="G32" s="17" t="n"/>
      <c r="H32" s="17" t="n"/>
      <c r="I32" s="17" t="n"/>
      <c r="J32" s="17" t="n"/>
      <c r="K32" s="16">
        <f>IF(C32="Diario", D32*E32, E32)</f>
        <v/>
      </c>
    </row>
    <row r="33" ht="20" customHeight="1">
      <c r="B33" s="14" t="inlineStr">
        <is>
          <t>Catering y Alimentos &amp; Bebidas (Presupuesto Base)</t>
        </is>
      </c>
      <c r="C33" s="11" t="inlineStr">
        <is>
          <t>Fijo</t>
        </is>
      </c>
      <c r="D33" s="15" t="n">
        <v>1</v>
      </c>
      <c r="E33" s="12" t="n">
        <v>120000</v>
      </c>
      <c r="F33" s="17" t="n"/>
      <c r="G33" s="17" t="n"/>
      <c r="H33" s="17" t="n"/>
      <c r="I33" s="17" t="n"/>
      <c r="J33" s="17" t="n"/>
      <c r="K33" s="16">
        <f>IF(C33="Diario", D33*E33, E33)</f>
        <v/>
      </c>
    </row>
    <row r="34" ht="22" customHeight="1">
      <c r="B34" s="7" t="inlineStr">
        <is>
          <t>Subtotal Servicios y Operación:</t>
        </is>
      </c>
      <c r="C34" s="17" t="n"/>
      <c r="D34" s="17" t="n"/>
      <c r="E34" s="17" t="n"/>
      <c r="F34" s="17" t="n"/>
      <c r="G34" s="17" t="n"/>
      <c r="H34" s="17" t="n"/>
      <c r="I34" s="17" t="n"/>
      <c r="J34" s="17" t="n"/>
      <c r="K34" s="18">
        <f>SUM(K26:K33)</f>
        <v/>
      </c>
    </row>
    <row r="36" ht="25" customHeight="1">
      <c r="B36" s="6" t="inlineStr">
        <is>
          <t>4. RESUMEN DE COTIZACIÓN Y PRESUPUESTO</t>
        </is>
      </c>
    </row>
    <row r="37" ht="20" customHeight="1">
      <c r="B37" s="22" t="inlineStr">
        <is>
          <t>Subtotal Renta de Espacios:</t>
        </is>
      </c>
      <c r="C37" s="17" t="n"/>
      <c r="D37" s="17" t="n"/>
      <c r="E37" s="17" t="n"/>
      <c r="F37" s="17" t="n"/>
      <c r="G37" s="17" t="n"/>
      <c r="H37" s="17" t="n"/>
      <c r="I37" s="17" t="n"/>
      <c r="J37" s="17" t="n"/>
      <c r="K37" s="4">
        <f>K22</f>
        <v/>
      </c>
    </row>
    <row r="38" ht="20" customHeight="1">
      <c r="B38" s="22" t="inlineStr">
        <is>
          <t>Subtotal Servicios Adicionales:</t>
        </is>
      </c>
      <c r="C38" s="17" t="n"/>
      <c r="D38" s="17" t="n"/>
      <c r="E38" s="17" t="n"/>
      <c r="F38" s="17" t="n"/>
      <c r="G38" s="17" t="n"/>
      <c r="H38" s="17" t="n"/>
      <c r="I38" s="17" t="n"/>
      <c r="J38" s="17" t="n"/>
      <c r="K38" s="4">
        <f>K34</f>
        <v/>
      </c>
    </row>
    <row r="39" ht="20" customHeight="1">
      <c r="B39" s="22" t="inlineStr">
        <is>
          <t>Descuento Especial sobre Renta (%):</t>
        </is>
      </c>
      <c r="C39" s="17" t="n"/>
      <c r="D39" s="17" t="n"/>
      <c r="E39" s="17" t="n"/>
      <c r="F39" s="17" t="n"/>
      <c r="G39" s="17" t="n"/>
      <c r="H39" s="17" t="n"/>
      <c r="I39" s="17" t="n"/>
      <c r="J39" s="17" t="n"/>
      <c r="K39" s="5">
        <f>$C$10</f>
        <v/>
      </c>
    </row>
    <row r="40" ht="20" customHeight="1">
      <c r="B40" s="22" t="inlineStr">
        <is>
          <t>Monto Descuento Aplicado:</t>
        </is>
      </c>
      <c r="C40" s="17" t="n"/>
      <c r="D40" s="17" t="n"/>
      <c r="E40" s="17" t="n"/>
      <c r="F40" s="17" t="n"/>
      <c r="G40" s="17" t="n"/>
      <c r="H40" s="17" t="n"/>
      <c r="I40" s="17" t="n"/>
      <c r="J40" s="17" t="n"/>
      <c r="K40" s="4">
        <f>K39*K37</f>
        <v/>
      </c>
    </row>
    <row r="41" ht="20" customHeight="1">
      <c r="B41" s="7" t="inlineStr">
        <is>
          <t>TOTAL NETO ESTIMADO:</t>
        </is>
      </c>
      <c r="C41" s="17" t="n"/>
      <c r="D41" s="17" t="n"/>
      <c r="E41" s="17" t="n"/>
      <c r="F41" s="17" t="n"/>
      <c r="G41" s="17" t="n"/>
      <c r="H41" s="17" t="n"/>
      <c r="I41" s="17" t="n"/>
      <c r="J41" s="17" t="n"/>
      <c r="K41" s="23">
        <f>K37+K38-K40</f>
        <v/>
      </c>
    </row>
  </sheetData>
  <mergeCells count="22">
    <mergeCell ref="C34:J34"/>
    <mergeCell ref="E28:J28"/>
    <mergeCell ref="E31:J31"/>
    <mergeCell ref="B24:K24"/>
    <mergeCell ref="E30:J30"/>
    <mergeCell ref="B36:K36"/>
    <mergeCell ref="E5:K10"/>
    <mergeCell ref="B4:K4"/>
    <mergeCell ref="E27:J27"/>
    <mergeCell ref="C41:J41"/>
    <mergeCell ref="C22:J22"/>
    <mergeCell ref="E26:J26"/>
    <mergeCell ref="C40:J40"/>
    <mergeCell ref="E25:J25"/>
    <mergeCell ref="E32:J32"/>
    <mergeCell ref="B12:K12"/>
    <mergeCell ref="B2:K2"/>
    <mergeCell ref="C39:J39"/>
    <mergeCell ref="E33:J33"/>
    <mergeCell ref="C38:J38"/>
    <mergeCell ref="C37:J37"/>
    <mergeCell ref="E29:J29"/>
  </mergeCells>
  <dataValidations count="2">
    <dataValidation sqref="C8" showDropDown="0" showInputMessage="0" showErrorMessage="0" allowBlank="0" type="list">
      <formula1>"Privado,Público"</formula1>
    </dataValidation>
    <dataValidation sqref="C26 C27 C28 C29 C30 C31 C32 C33" showDropDown="0" showInputMessage="0" showErrorMessage="0" allowBlank="0" type="list">
      <formula1>"Diario,Fijo"</formula1>
    </dataValidation>
  </dataValidations>
  <pageMargins left="0.75" right="0.75" top="1" bottom="1" header="0.5" footer="0.5"/>
  <pageSetup orientation="landscape" fitToHeight="0" fitToWidth="1"/>
  <headerFooter>
    <oddHeader/>
    <oddFooter>&amp;LPreparado por BÚNKER Creatividad Empresarial&amp;RMUNET Event Simulator 2026 | v1.0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2026-07-04T23:00:45Z</dcterms:created>
  <dcterms:modified xmlns:dcterms="http://purl.org/dc/terms/" xmlns:xsi="http://www.w3.org/2001/XMLSchema-instance" xsi:type="dcterms:W3CDTF">2026-07-04T23:00:46Z</dcterms:modified>
</cp:coreProperties>
</file>